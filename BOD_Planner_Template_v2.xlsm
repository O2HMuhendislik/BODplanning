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9D6C5366-4D18-4AA0-B75A-2D143BDABE5C}" xr6:coauthVersionLast="47" xr6:coauthVersionMax="47" xr10:uidLastSave="{00000000-0000-0000-0000-000000000000}"/>
  <bookViews>
    <workbookView xWindow="-120" yWindow="-120" windowWidth="29040" windowHeight="15720" tabRatio="809" activeTab="7" xr2:uid="{00000000-000D-0000-FFFF-FFFF00000000}"/>
  </bookViews>
  <sheets>
    <sheet name="Readme" sheetId="1" r:id="rId1"/>
    <sheet name="Parameters" sheetId="2" r:id="rId2"/>
    <sheet name="MasterData_Products" sheetId="3" r:id="rId3"/>
    <sheet name="MasterData_HeaderKits" sheetId="4" r:id="rId4"/>
    <sheet name="DepotTruckCapacity" sheetId="5" r:id="rId5"/>
    <sheet name="Deliveries" sheetId="6" r:id="rId6"/>
    <sheet name="Plans" sheetId="7" r:id="rId7"/>
    <sheet name="PlanLines" sheetId="8" r:id="rId8"/>
    <sheet name="LoadingForm_Template" sheetId="9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6" l="1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 l="1"/>
  <c r="M4" i="6"/>
  <c r="M3" i="6"/>
  <c r="M2" i="6"/>
</calcChain>
</file>

<file path=xl/sharedStrings.xml><?xml version="1.0" encoding="utf-8"?>
<sst xmlns="http://schemas.openxmlformats.org/spreadsheetml/2006/main" count="292" uniqueCount="115">
  <si>
    <t>BOD Sevkiyat Planlama – v2 Şablon</t>
  </si>
  <si>
    <t xml:space="preserve">Bu dosya, BOD/TIR planlama ve yükleme formu üretimi için güncellenmiş yapıyı içerir.
**Önemli notlar:**
• Her plan **tek depo** içerir.
• BOD için palet adedi **tam sayı** olmalı (kesirli palet yok).
• Teslimatlar HEADER + COMP + STD olarak gelebilir; header setleri bölünmez.
• TIR (03/34/44/74) depolarında kapasite **palet** esastır.
**Sayfalar:**
• Parameters: Plan numarası ve genel parametreler (YYMM, NextSeq, Destination, TruckDepots vb.)
• MasterData_Products: Ürün kartları (ProductName, IsHeader, HeaderGroupID, UnitsPerPallet).
• MasterData_HeaderKits: Header setleri için BOM (HeaderGroupID → Component + Qty).
• DepotTruckCapacity: TIR depolarının palet kapasitesi.
• Deliveries: Planlanacak sipariş satırları (yükleme formu formatına uygun).
• Plans / PlanLines: Plan çıktıları (makrolar dolduracak).
• LoadingForm_Template: Yükleme formu başlık ve kolon yapısı.
**Kullanım akışı (özet):**
1) MasterData_Products/HeaderKits/DepotTruckCapacity ve Parameters sayfalarını doldurun.
2) Deliveries sayfasını (16 kolonu) SAP’den gelen verilere göre doldurun.
3) Makrolar ile BOD veya TIR planlarını oluşturun (PlanLines &amp; Plans dolacak).
4) PlanNo ile LoadingForm_Template üzerinden formu üretin (ayrı dosya/PDF'e aktarabilirsiniz).
</t>
  </si>
  <si>
    <t>Parametre</t>
  </si>
  <si>
    <t>Değer</t>
  </si>
  <si>
    <t>Açıklama</t>
  </si>
  <si>
    <t>PlanningMode</t>
  </si>
  <si>
    <t>BOD</t>
  </si>
  <si>
    <t>BOD/Truck (bilgi amaçlı)</t>
  </si>
  <si>
    <t>YYMM</t>
  </si>
  <si>
    <t>Plan numarası için yıl+ay (ör. 2601)</t>
  </si>
  <si>
    <t>PlanSeqStart</t>
  </si>
  <si>
    <t>Sayaç başlangıcı</t>
  </si>
  <si>
    <t>NextSeq</t>
  </si>
  <si>
    <t>Sıradaki plan numarası</t>
  </si>
  <si>
    <t>Destination</t>
  </si>
  <si>
    <t>Varış deposu</t>
  </si>
  <si>
    <t>BOD_MinPallets</t>
  </si>
  <si>
    <t>BOD için minimum tam palet (&gt;=1)</t>
  </si>
  <si>
    <t>TruckDepots</t>
  </si>
  <si>
    <t>03,34,44,74</t>
  </si>
  <si>
    <t>TIR-bazlı depolar (palet kapasitesi)</t>
  </si>
  <si>
    <t>ProductCode</t>
  </si>
  <si>
    <t>ProductName</t>
  </si>
  <si>
    <t>IsHeader(Y/N)</t>
  </si>
  <si>
    <t>HeaderGroupID</t>
  </si>
  <si>
    <t>UnitsPerPallet</t>
  </si>
  <si>
    <t>PalletLengthCm</t>
  </si>
  <si>
    <t>PalletWidthCm</t>
  </si>
  <si>
    <t>PalletHeightCm</t>
  </si>
  <si>
    <t>WeightKgPerUnit</t>
  </si>
  <si>
    <t>Notes</t>
  </si>
  <si>
    <t>KOMBI_HDR</t>
  </si>
  <si>
    <t>Kombi Kiti (Header)</t>
  </si>
  <si>
    <t>Y</t>
  </si>
  <si>
    <t>HDR_KOMBI_01</t>
  </si>
  <si>
    <t>Kombi+baca set</t>
  </si>
  <si>
    <t>KOMBI123</t>
  </si>
  <si>
    <t>N</t>
  </si>
  <si>
    <t>BACA123</t>
  </si>
  <si>
    <t>RAD_600x1000</t>
  </si>
  <si>
    <t>Radyatör 600x1000</t>
  </si>
  <si>
    <t>ComponentCode</t>
  </si>
  <si>
    <t>QtyPerKit</t>
  </si>
  <si>
    <t>DepotCode</t>
  </si>
  <si>
    <t>TruckType</t>
  </si>
  <si>
    <t>CapacityPallet</t>
  </si>
  <si>
    <t>MaxWeightKg</t>
  </si>
  <si>
    <t>03</t>
  </si>
  <si>
    <t>StdTIR</t>
  </si>
  <si>
    <t>34</t>
  </si>
  <si>
    <t>44</t>
  </si>
  <si>
    <t>74</t>
  </si>
  <si>
    <t>IlAdi</t>
  </si>
  <si>
    <t>SiparisNo</t>
  </si>
  <si>
    <t>BelgeNo</t>
  </si>
  <si>
    <t>Depo</t>
  </si>
  <si>
    <t>UrunKodu</t>
  </si>
  <si>
    <t>UrunAdi</t>
  </si>
  <si>
    <t>Adet</t>
  </si>
  <si>
    <t>BayiAdi</t>
  </si>
  <si>
    <t>TeslimatNo</t>
  </si>
  <si>
    <t>MaterialType</t>
  </si>
  <si>
    <t>QtyPlannedUnits</t>
  </si>
  <si>
    <t>QtyRemainingUnits</t>
  </si>
  <si>
    <t>Priority</t>
  </si>
  <si>
    <t>Status</t>
  </si>
  <si>
    <t>PlanNo</t>
  </si>
  <si>
    <t>ESKISEHIR</t>
  </si>
  <si>
    <t>MOVUS DEPO-NEW GLOBAL INS.</t>
  </si>
  <si>
    <t>DLV2601001</t>
  </si>
  <si>
    <t>HEADER</t>
  </si>
  <si>
    <t>High</t>
  </si>
  <si>
    <t>COMP</t>
  </si>
  <si>
    <t>SAYGIN MAKINA - MOVUS DEPO</t>
  </si>
  <si>
    <t>DLV2601002</t>
  </si>
  <si>
    <t>STD</t>
  </si>
  <si>
    <t>Normal</t>
  </si>
  <si>
    <t>PlanDate</t>
  </si>
  <si>
    <t>Mode</t>
  </si>
  <si>
    <t>OriginDepot</t>
  </si>
  <si>
    <t>ProductScope</t>
  </si>
  <si>
    <t>LotType</t>
  </si>
  <si>
    <t>LotPallets</t>
  </si>
  <si>
    <t>SeqNo</t>
  </si>
  <si>
    <t>LineNo</t>
  </si>
  <si>
    <t>DeliveryNo</t>
  </si>
  <si>
    <t>QtyUnits</t>
  </si>
  <si>
    <t>Pallets</t>
  </si>
  <si>
    <t>YUKLEME FORMLARI</t>
  </si>
  <si>
    <t>SEFER NO</t>
  </si>
  <si>
    <t>Plan Sevk Tarihi ve Günü</t>
  </si>
  <si>
    <t>Il Adi</t>
  </si>
  <si>
    <t>Siparis No</t>
  </si>
  <si>
    <t>Belge No</t>
  </si>
  <si>
    <t>Urun Kodu</t>
  </si>
  <si>
    <t>Urun Adi</t>
  </si>
  <si>
    <t>Bayi Adi</t>
  </si>
  <si>
    <t>Teslimat</t>
  </si>
  <si>
    <t>2601D1001</t>
  </si>
  <si>
    <t>SKU-based</t>
  </si>
  <si>
    <t>PALLET</t>
  </si>
  <si>
    <t>Draft</t>
  </si>
  <si>
    <t>2601D1002</t>
  </si>
  <si>
    <t>2601D1003</t>
  </si>
  <si>
    <t>2601D1004</t>
  </si>
  <si>
    <t>Mixed</t>
  </si>
  <si>
    <t>14 Ocak 2026 Çarşamba</t>
  </si>
  <si>
    <t>64-DEPO</t>
  </si>
  <si>
    <t>TOPLAM ADET</t>
  </si>
  <si>
    <t>DEMIRDOKUM NITROMIX P 24(DG)(HEP) Header</t>
  </si>
  <si>
    <t>DEMIRDOKUM NITROMIX P 24 (DG) (HEP)</t>
  </si>
  <si>
    <t>Atık gaz borusu,DD Nitromix Ø60/100</t>
  </si>
  <si>
    <t>2601D1005</t>
  </si>
  <si>
    <t>2601D1006</t>
  </si>
  <si>
    <t>2601D1007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</si>
</sst>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name val="Calibri"/>
      <family val="2"/>
      <charset val="162"/>
    </font>
    <font>
      <b/>
      <sz val="11"/>
      <color rgb="FFFFFFFF"/>
      <name val="Calibri"/>
      <family val="2"/>
      <charset val="162"/>
    </font>
    <font>
      <b/>
      <sz val="16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3" fillId="0" borderId="3" xfId="0" applyFont="1" applyBorder="1"/>
    <xf numFmtId="0" fontId="1" fillId="0" borderId="0" xfId="0" applyFont="1" applyAlignment="1">
      <alignment horizontal="left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161925</xdr:rowOff>
        </xdr:from>
        <xdr:to>
          <xdr:col>21</xdr:col>
          <xdr:colOff>371475</xdr:colOff>
          <xdr:row>7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64 Depo PLanla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9</xdr:row>
          <xdr:rowOff>9525</xdr:rowOff>
        </xdr:from>
        <xdr:to>
          <xdr:col>21</xdr:col>
          <xdr:colOff>409575</xdr:colOff>
          <xdr:row>14</xdr:row>
          <xdr:rowOff>19050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Araç Bazında Planla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3</xdr:row>
          <xdr:rowOff>85725</xdr:rowOff>
        </xdr:from>
        <xdr:to>
          <xdr:col>14</xdr:col>
          <xdr:colOff>504825</xdr:colOff>
          <xdr:row>8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Yükleme Formu Oluştur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5</xdr:row>
          <xdr:rowOff>114300</xdr:rowOff>
        </xdr:from>
        <xdr:to>
          <xdr:col>11</xdr:col>
          <xdr:colOff>257175</xdr:colOff>
          <xdr:row>6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9</xdr:row>
          <xdr:rowOff>9525</xdr:rowOff>
        </xdr:from>
        <xdr:to>
          <xdr:col>11</xdr:col>
          <xdr:colOff>285750</xdr:colOff>
          <xdr:row>10</xdr:row>
          <xdr:rowOff>57150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workbookViewId="0">
      <selection activeCell="A2" sqref="A2:F30"/>
    </sheetView>
  </sheetViews>
  <sheetFormatPr defaultRowHeight="15" x14ac:dyDescent="0.25"/>
  <cols>
    <col min="1" max="1" width="70" customWidth="1"/>
    <col min="2" max="6" width="20" customWidth="1"/>
  </cols>
  <sheetData>
    <row r="1" spans="1:6" ht="21" x14ac:dyDescent="0.35">
      <c r="A1" s="6" t="s">
        <v>0</v>
      </c>
      <c r="B1" s="7"/>
      <c r="C1" s="7"/>
      <c r="D1" s="7"/>
      <c r="E1" s="7"/>
      <c r="F1" s="7"/>
    </row>
    <row r="2" spans="1:6" x14ac:dyDescent="0.25">
      <c r="A2" s="7" t="s">
        <v>1</v>
      </c>
      <c r="B2" s="7"/>
      <c r="C2" s="7"/>
      <c r="D2" s="7"/>
      <c r="E2" s="7"/>
      <c r="F2" s="7"/>
    </row>
    <row r="3" spans="1:6" x14ac:dyDescent="0.25">
      <c r="A3" s="7"/>
      <c r="B3" s="7"/>
      <c r="C3" s="7"/>
      <c r="D3" s="7"/>
      <c r="E3" s="7"/>
      <c r="F3" s="7"/>
    </row>
    <row r="4" spans="1:6" x14ac:dyDescent="0.25">
      <c r="A4" s="7"/>
      <c r="B4" s="7"/>
      <c r="C4" s="7"/>
      <c r="D4" s="7"/>
      <c r="E4" s="7"/>
      <c r="F4" s="7"/>
    </row>
    <row r="5" spans="1:6" x14ac:dyDescent="0.25">
      <c r="A5" s="7"/>
      <c r="B5" s="7"/>
      <c r="C5" s="7"/>
      <c r="D5" s="7"/>
      <c r="E5" s="7"/>
      <c r="F5" s="7"/>
    </row>
    <row r="6" spans="1:6" x14ac:dyDescent="0.25">
      <c r="A6" s="7"/>
      <c r="B6" s="7"/>
      <c r="C6" s="7"/>
      <c r="D6" s="7"/>
      <c r="E6" s="7"/>
      <c r="F6" s="7"/>
    </row>
    <row r="7" spans="1:6" x14ac:dyDescent="0.25">
      <c r="A7" s="7"/>
      <c r="B7" s="7"/>
      <c r="C7" s="7"/>
      <c r="D7" s="7"/>
      <c r="E7" s="7"/>
      <c r="F7" s="7"/>
    </row>
    <row r="8" spans="1:6" x14ac:dyDescent="0.25">
      <c r="A8" s="7"/>
      <c r="B8" s="7"/>
      <c r="C8" s="7"/>
      <c r="D8" s="7"/>
      <c r="E8" s="7"/>
      <c r="F8" s="7"/>
    </row>
    <row r="9" spans="1:6" x14ac:dyDescent="0.25">
      <c r="A9" s="7"/>
      <c r="B9" s="7"/>
      <c r="C9" s="7"/>
      <c r="D9" s="7"/>
      <c r="E9" s="7"/>
      <c r="F9" s="7"/>
    </row>
    <row r="10" spans="1:6" x14ac:dyDescent="0.25">
      <c r="A10" s="7"/>
      <c r="B10" s="7"/>
      <c r="C10" s="7"/>
      <c r="D10" s="7"/>
      <c r="E10" s="7"/>
      <c r="F10" s="7"/>
    </row>
    <row r="11" spans="1:6" x14ac:dyDescent="0.25">
      <c r="A11" s="7"/>
      <c r="B11" s="7"/>
      <c r="C11" s="7"/>
      <c r="D11" s="7"/>
      <c r="E11" s="7"/>
      <c r="F11" s="7"/>
    </row>
    <row r="12" spans="1:6" x14ac:dyDescent="0.25">
      <c r="A12" s="7"/>
      <c r="B12" s="7"/>
      <c r="C12" s="7"/>
      <c r="D12" s="7"/>
      <c r="E12" s="7"/>
      <c r="F12" s="7"/>
    </row>
    <row r="13" spans="1:6" x14ac:dyDescent="0.25">
      <c r="A13" s="7"/>
      <c r="B13" s="7"/>
      <c r="C13" s="7"/>
      <c r="D13" s="7"/>
      <c r="E13" s="7"/>
      <c r="F13" s="7"/>
    </row>
    <row r="14" spans="1:6" x14ac:dyDescent="0.25">
      <c r="A14" s="7"/>
      <c r="B14" s="7"/>
      <c r="C14" s="7"/>
      <c r="D14" s="7"/>
      <c r="E14" s="7"/>
      <c r="F14" s="7"/>
    </row>
    <row r="15" spans="1:6" x14ac:dyDescent="0.25">
      <c r="A15" s="7"/>
      <c r="B15" s="7"/>
      <c r="C15" s="7"/>
      <c r="D15" s="7"/>
      <c r="E15" s="7"/>
      <c r="F15" s="7"/>
    </row>
    <row r="16" spans="1:6" x14ac:dyDescent="0.25">
      <c r="A16" s="7"/>
      <c r="B16" s="7"/>
      <c r="C16" s="7"/>
      <c r="D16" s="7"/>
      <c r="E16" s="7"/>
      <c r="F16" s="7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7"/>
      <c r="B18" s="7"/>
      <c r="C18" s="7"/>
      <c r="D18" s="7"/>
      <c r="E18" s="7"/>
      <c r="F18" s="7"/>
    </row>
    <row r="19" spans="1:6" x14ac:dyDescent="0.25">
      <c r="A19" s="7"/>
      <c r="B19" s="7"/>
      <c r="C19" s="7"/>
      <c r="D19" s="7"/>
      <c r="E19" s="7"/>
      <c r="F19" s="7"/>
    </row>
    <row r="20" spans="1:6" x14ac:dyDescent="0.25">
      <c r="A20" s="7"/>
      <c r="B20" s="7"/>
      <c r="C20" s="7"/>
      <c r="D20" s="7"/>
      <c r="E20" s="7"/>
      <c r="F20" s="7"/>
    </row>
    <row r="21" spans="1:6" x14ac:dyDescent="0.25">
      <c r="A21" s="7"/>
      <c r="B21" s="7"/>
      <c r="C21" s="7"/>
      <c r="D21" s="7"/>
      <c r="E21" s="7"/>
      <c r="F21" s="7"/>
    </row>
    <row r="22" spans="1:6" x14ac:dyDescent="0.25">
      <c r="A22" s="7"/>
      <c r="B22" s="7"/>
      <c r="C22" s="7"/>
      <c r="D22" s="7"/>
      <c r="E22" s="7"/>
      <c r="F22" s="7"/>
    </row>
    <row r="23" spans="1:6" x14ac:dyDescent="0.25">
      <c r="A23" s="7"/>
      <c r="B23" s="7"/>
      <c r="C23" s="7"/>
      <c r="D23" s="7"/>
      <c r="E23" s="7"/>
      <c r="F23" s="7"/>
    </row>
    <row r="24" spans="1:6" x14ac:dyDescent="0.25">
      <c r="A24" s="7"/>
      <c r="B24" s="7"/>
      <c r="C24" s="7"/>
      <c r="D24" s="7"/>
      <c r="E24" s="7"/>
      <c r="F24" s="7"/>
    </row>
    <row r="25" spans="1:6" x14ac:dyDescent="0.25">
      <c r="A25" s="7"/>
      <c r="B25" s="7"/>
      <c r="C25" s="7"/>
      <c r="D25" s="7"/>
      <c r="E25" s="7"/>
      <c r="F25" s="7"/>
    </row>
    <row r="26" spans="1:6" x14ac:dyDescent="0.25">
      <c r="A26" s="7"/>
      <c r="B26" s="7"/>
      <c r="C26" s="7"/>
      <c r="D26" s="7"/>
      <c r="E26" s="7"/>
      <c r="F26" s="7"/>
    </row>
    <row r="27" spans="1:6" x14ac:dyDescent="0.25">
      <c r="A27" s="7"/>
      <c r="B27" s="7"/>
      <c r="C27" s="7"/>
      <c r="D27" s="7"/>
      <c r="E27" s="7"/>
      <c r="F27" s="7"/>
    </row>
    <row r="28" spans="1:6" x14ac:dyDescent="0.25">
      <c r="A28" s="7"/>
      <c r="B28" s="7"/>
      <c r="C28" s="7"/>
      <c r="D28" s="7"/>
      <c r="E28" s="7"/>
      <c r="F28" s="7"/>
    </row>
    <row r="29" spans="1:6" x14ac:dyDescent="0.25">
      <c r="A29" s="7"/>
      <c r="B29" s="7"/>
      <c r="C29" s="7"/>
      <c r="D29" s="7"/>
      <c r="E29" s="7"/>
      <c r="F29" s="7"/>
    </row>
    <row r="30" spans="1:6" x14ac:dyDescent="0.25">
      <c r="A30" s="7"/>
      <c r="B30" s="7"/>
      <c r="C30" s="7"/>
      <c r="D30" s="7"/>
      <c r="E30" s="7"/>
      <c r="F30" s="7"/>
    </row>
  </sheetData>
  <mergeCells count="2">
    <mergeCell ref="A1:F1"/>
    <mergeCell ref="A2:F30"/>
  </mergeCells>
  <pageMargins left="0.75" right="0.75" top="1" bottom="1" header="0.5" footer="0.5"/>
  <headerFooter>
    <oddFooter>&amp;C_x000D_&amp;1#&amp;"Aptos"&amp;10&amp;K000000 PUBLIC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4" customWidth="1"/>
    <col min="2" max="2" width="22" customWidth="1"/>
    <col min="3" max="3" width="70" customWidth="1"/>
  </cols>
  <sheetData>
    <row r="1" spans="1:3" x14ac:dyDescent="0.25">
      <c r="A1" s="1" t="s">
        <v>2</v>
      </c>
      <c r="B1" s="1" t="s">
        <v>3</v>
      </c>
      <c r="C1" s="1" t="s">
        <v>4</v>
      </c>
    </row>
    <row r="2" spans="1:3" x14ac:dyDescent="0.25">
      <c r="A2" t="s">
        <v>5</v>
      </c>
      <c r="B2" t="s">
        <v>6</v>
      </c>
      <c r="C2" t="s">
        <v>7</v>
      </c>
    </row>
    <row r="3" spans="1:3" x14ac:dyDescent="0.25">
      <c r="A3" t="s">
        <v>8</v>
      </c>
      <c r="B3">
        <v>2601</v>
      </c>
      <c r="C3" t="s">
        <v>9</v>
      </c>
    </row>
    <row r="4" spans="1:3" x14ac:dyDescent="0.25">
      <c r="A4" t="s">
        <v>10</v>
      </c>
      <c r="B4">
        <v>1000</v>
      </c>
      <c r="C4" t="s">
        <v>11</v>
      </c>
    </row>
    <row r="5" spans="1:3" x14ac:dyDescent="0.25">
      <c r="A5" t="s">
        <v>12</v>
      </c>
      <c r="B5">
        <v>1008</v>
      </c>
      <c r="C5" t="s">
        <v>13</v>
      </c>
    </row>
    <row r="6" spans="1:3" x14ac:dyDescent="0.25">
      <c r="A6" t="s">
        <v>14</v>
      </c>
      <c r="B6" t="s">
        <v>6</v>
      </c>
      <c r="C6" t="s">
        <v>15</v>
      </c>
    </row>
    <row r="7" spans="1:3" x14ac:dyDescent="0.25">
      <c r="A7" t="s">
        <v>16</v>
      </c>
      <c r="B7">
        <v>1</v>
      </c>
      <c r="C7" t="s">
        <v>17</v>
      </c>
    </row>
    <row r="8" spans="1:3" x14ac:dyDescent="0.25">
      <c r="A8" t="s">
        <v>18</v>
      </c>
      <c r="B8" t="s">
        <v>19</v>
      </c>
      <c r="C8" t="s">
        <v>20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"/>
  <sheetViews>
    <sheetView workbookViewId="0">
      <pane ySplit="1" topLeftCell="A2" activePane="bottomLeft" state="frozen"/>
      <selection pane="bottomLeft" activeCell="A2" sqref="A2:B4"/>
    </sheetView>
  </sheetViews>
  <sheetFormatPr defaultRowHeight="15" x14ac:dyDescent="0.25"/>
  <cols>
    <col min="1" max="1" width="20" customWidth="1"/>
    <col min="2" max="2" width="34" customWidth="1"/>
    <col min="3" max="3" width="16" customWidth="1"/>
    <col min="4" max="4" width="20" customWidth="1"/>
    <col min="5" max="8" width="16" customWidth="1"/>
    <col min="9" max="9" width="18" customWidth="1"/>
    <col min="10" max="10" width="30" customWidth="1"/>
  </cols>
  <sheetData>
    <row r="1" spans="1:10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</row>
    <row r="2" spans="1:10" x14ac:dyDescent="0.25">
      <c r="A2">
        <v>10024055</v>
      </c>
      <c r="B2" t="s">
        <v>109</v>
      </c>
      <c r="C2" t="s">
        <v>33</v>
      </c>
      <c r="D2" t="s">
        <v>34</v>
      </c>
      <c r="E2">
        <v>15</v>
      </c>
      <c r="F2">
        <v>0</v>
      </c>
      <c r="G2">
        <v>0</v>
      </c>
      <c r="H2">
        <v>0</v>
      </c>
      <c r="I2">
        <v>0</v>
      </c>
      <c r="J2" t="s">
        <v>35</v>
      </c>
    </row>
    <row r="3" spans="1:10" x14ac:dyDescent="0.25">
      <c r="A3">
        <v>10019471</v>
      </c>
      <c r="B3" t="s">
        <v>110</v>
      </c>
      <c r="C3" t="s">
        <v>37</v>
      </c>
      <c r="D3" t="s">
        <v>34</v>
      </c>
      <c r="E3">
        <v>15</v>
      </c>
      <c r="F3">
        <v>147</v>
      </c>
      <c r="G3">
        <v>83</v>
      </c>
      <c r="H3">
        <v>225</v>
      </c>
      <c r="I3">
        <v>36</v>
      </c>
    </row>
    <row r="4" spans="1:10" x14ac:dyDescent="0.25">
      <c r="A4">
        <v>3003202922</v>
      </c>
      <c r="B4" t="s">
        <v>111</v>
      </c>
      <c r="C4" t="s">
        <v>37</v>
      </c>
      <c r="D4" t="s">
        <v>34</v>
      </c>
      <c r="E4">
        <v>15</v>
      </c>
      <c r="F4">
        <v>147</v>
      </c>
      <c r="G4">
        <v>83</v>
      </c>
      <c r="H4">
        <v>225</v>
      </c>
      <c r="I4">
        <v>5</v>
      </c>
    </row>
    <row r="5" spans="1:10" x14ac:dyDescent="0.25">
      <c r="A5" t="s">
        <v>39</v>
      </c>
      <c r="B5" t="s">
        <v>40</v>
      </c>
      <c r="C5" t="s">
        <v>37</v>
      </c>
      <c r="E5">
        <v>24</v>
      </c>
      <c r="F5">
        <v>120</v>
      </c>
      <c r="G5">
        <v>80</v>
      </c>
      <c r="H5">
        <v>160</v>
      </c>
      <c r="I5">
        <v>12</v>
      </c>
    </row>
  </sheetData>
  <dataValidations count="1">
    <dataValidation type="list" allowBlank="1" sqref="C2:C1048576" xr:uid="{00000000-0002-0000-0200-000000000000}">
      <formula1>"Y,N"</formula1>
    </dataValidation>
  </dataValidations>
  <pageMargins left="0.75" right="0.75" top="1" bottom="1" header="0.5" footer="0.5"/>
  <headerFooter>
    <oddFooter>&amp;C_x000D_&amp;1#&amp;"Aptos"&amp;10&amp;K000000 PUBLIC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3"/>
  <sheetViews>
    <sheetView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2" width="22" customWidth="1"/>
    <col min="3" max="3" width="14" customWidth="1"/>
  </cols>
  <sheetData>
    <row r="1" spans="1:3" x14ac:dyDescent="0.25">
      <c r="A1" s="1" t="s">
        <v>24</v>
      </c>
      <c r="B1" s="1" t="s">
        <v>41</v>
      </c>
      <c r="C1" s="1" t="s">
        <v>42</v>
      </c>
    </row>
    <row r="2" spans="1:3" x14ac:dyDescent="0.25">
      <c r="A2" t="s">
        <v>34</v>
      </c>
      <c r="B2">
        <v>10019471</v>
      </c>
      <c r="C2">
        <v>1</v>
      </c>
    </row>
    <row r="3" spans="1:3" x14ac:dyDescent="0.25">
      <c r="A3" t="s">
        <v>34</v>
      </c>
      <c r="B3">
        <v>3003202922</v>
      </c>
      <c r="C3">
        <v>1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" customWidth="1"/>
    <col min="2" max="2" width="16" customWidth="1"/>
    <col min="3" max="3" width="18" customWidth="1"/>
    <col min="4" max="4" width="16" customWidth="1"/>
    <col min="5" max="5" width="40" customWidth="1"/>
  </cols>
  <sheetData>
    <row r="1" spans="1:5" x14ac:dyDescent="0.25">
      <c r="A1" s="1" t="s">
        <v>43</v>
      </c>
      <c r="B1" s="1" t="s">
        <v>44</v>
      </c>
      <c r="C1" s="1" t="s">
        <v>45</v>
      </c>
      <c r="D1" s="1" t="s">
        <v>46</v>
      </c>
      <c r="E1" s="1" t="s">
        <v>30</v>
      </c>
    </row>
    <row r="2" spans="1:5" x14ac:dyDescent="0.25">
      <c r="A2" t="s">
        <v>47</v>
      </c>
      <c r="B2" t="s">
        <v>48</v>
      </c>
      <c r="C2">
        <v>33</v>
      </c>
      <c r="D2">
        <v>24000</v>
      </c>
    </row>
    <row r="3" spans="1:5" x14ac:dyDescent="0.25">
      <c r="A3" t="s">
        <v>49</v>
      </c>
      <c r="B3" t="s">
        <v>48</v>
      </c>
      <c r="C3">
        <v>33</v>
      </c>
      <c r="D3">
        <v>24000</v>
      </c>
    </row>
    <row r="4" spans="1:5" x14ac:dyDescent="0.25">
      <c r="A4" t="s">
        <v>50</v>
      </c>
      <c r="B4" t="s">
        <v>48</v>
      </c>
      <c r="C4">
        <v>33</v>
      </c>
      <c r="D4">
        <v>24000</v>
      </c>
    </row>
    <row r="5" spans="1:5" x14ac:dyDescent="0.25">
      <c r="A5" t="s">
        <v>51</v>
      </c>
      <c r="B5" t="s">
        <v>48</v>
      </c>
      <c r="C5">
        <v>33</v>
      </c>
      <c r="D5">
        <v>24000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0"/>
  <sheetViews>
    <sheetView topLeftCell="F1" workbookViewId="0">
      <pane ySplit="1" topLeftCell="A2" activePane="bottomLeft" state="frozen"/>
      <selection pane="bottomLeft" activeCell="P20" sqref="A2:P20"/>
    </sheetView>
  </sheetViews>
  <sheetFormatPr defaultRowHeight="15" x14ac:dyDescent="0.25"/>
  <cols>
    <col min="1" max="3" width="16" customWidth="1"/>
    <col min="4" max="4" width="10" customWidth="1"/>
    <col min="5" max="5" width="20" customWidth="1"/>
    <col min="6" max="6" width="34" customWidth="1"/>
    <col min="7" max="7" width="10" customWidth="1"/>
    <col min="8" max="8" width="30" customWidth="1"/>
    <col min="9" max="9" width="16" customWidth="1"/>
    <col min="10" max="10" width="14" customWidth="1"/>
    <col min="11" max="12" width="18" customWidth="1"/>
    <col min="13" max="13" width="20" customWidth="1"/>
    <col min="14" max="15" width="12" customWidth="1"/>
    <col min="16" max="16" width="16" customWidth="1"/>
  </cols>
  <sheetData>
    <row r="1" spans="1:16" x14ac:dyDescent="0.25">
      <c r="A1" s="1" t="s">
        <v>52</v>
      </c>
      <c r="B1" s="1" t="s">
        <v>53</v>
      </c>
      <c r="C1" s="1" t="s">
        <v>54</v>
      </c>
      <c r="D1" s="1" t="s">
        <v>55</v>
      </c>
      <c r="E1" s="1" t="s">
        <v>56</v>
      </c>
      <c r="F1" s="1" t="s">
        <v>57</v>
      </c>
      <c r="G1" s="1" t="s">
        <v>58</v>
      </c>
      <c r="H1" s="1" t="s">
        <v>59</v>
      </c>
      <c r="I1" s="1" t="s">
        <v>60</v>
      </c>
      <c r="J1" s="1" t="s">
        <v>61</v>
      </c>
      <c r="K1" s="1" t="s">
        <v>24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</row>
    <row r="2" spans="1:16" x14ac:dyDescent="0.25">
      <c r="A2" t="s">
        <v>67</v>
      </c>
      <c r="B2">
        <v>2010399923</v>
      </c>
      <c r="D2">
        <v>64</v>
      </c>
      <c r="E2">
        <v>10024055</v>
      </c>
      <c r="F2" t="s">
        <v>109</v>
      </c>
      <c r="G2">
        <v>60</v>
      </c>
      <c r="H2" t="s">
        <v>68</v>
      </c>
      <c r="I2">
        <v>2010399923</v>
      </c>
      <c r="J2" t="s">
        <v>70</v>
      </c>
      <c r="K2" t="s">
        <v>34</v>
      </c>
      <c r="L2">
        <v>60</v>
      </c>
      <c r="M2">
        <f t="shared" ref="M2:M20" si="0">G2-L2</f>
        <v>0</v>
      </c>
      <c r="N2" t="s">
        <v>71</v>
      </c>
    </row>
    <row r="3" spans="1:16" x14ac:dyDescent="0.25">
      <c r="A3" t="s">
        <v>67</v>
      </c>
      <c r="B3">
        <v>2010399923</v>
      </c>
      <c r="D3">
        <v>64</v>
      </c>
      <c r="E3">
        <v>10019471</v>
      </c>
      <c r="F3" t="s">
        <v>110</v>
      </c>
      <c r="G3">
        <v>60</v>
      </c>
      <c r="H3" t="s">
        <v>68</v>
      </c>
      <c r="I3">
        <v>2010399923</v>
      </c>
      <c r="J3" t="s">
        <v>72</v>
      </c>
      <c r="K3" t="s">
        <v>34</v>
      </c>
      <c r="L3">
        <v>60</v>
      </c>
      <c r="M3">
        <f t="shared" si="0"/>
        <v>0</v>
      </c>
      <c r="N3" t="s">
        <v>71</v>
      </c>
    </row>
    <row r="4" spans="1:16" x14ac:dyDescent="0.25">
      <c r="A4" t="s">
        <v>67</v>
      </c>
      <c r="B4">
        <v>2010399923</v>
      </c>
      <c r="D4">
        <v>64</v>
      </c>
      <c r="E4">
        <v>3003202922</v>
      </c>
      <c r="F4" t="s">
        <v>111</v>
      </c>
      <c r="G4">
        <v>60</v>
      </c>
      <c r="H4" t="s">
        <v>68</v>
      </c>
      <c r="I4">
        <v>2010399923</v>
      </c>
      <c r="J4" t="s">
        <v>72</v>
      </c>
      <c r="K4" t="s">
        <v>34</v>
      </c>
      <c r="L4">
        <v>60</v>
      </c>
      <c r="M4">
        <f t="shared" si="0"/>
        <v>0</v>
      </c>
      <c r="N4" t="s">
        <v>71</v>
      </c>
    </row>
    <row r="5" spans="1:16" x14ac:dyDescent="0.25">
      <c r="A5" t="s">
        <v>67</v>
      </c>
      <c r="B5">
        <v>2010399994</v>
      </c>
      <c r="D5">
        <v>64</v>
      </c>
      <c r="E5" t="s">
        <v>39</v>
      </c>
      <c r="F5" t="s">
        <v>40</v>
      </c>
      <c r="G5">
        <v>240</v>
      </c>
      <c r="H5" t="s">
        <v>73</v>
      </c>
      <c r="I5">
        <v>2010399994</v>
      </c>
      <c r="J5" t="s">
        <v>75</v>
      </c>
      <c r="L5">
        <v>240</v>
      </c>
      <c r="M5">
        <f t="shared" si="0"/>
        <v>0</v>
      </c>
      <c r="N5" t="s">
        <v>76</v>
      </c>
    </row>
    <row r="6" spans="1:16" x14ac:dyDescent="0.25">
      <c r="A6" t="s">
        <v>67</v>
      </c>
      <c r="B6">
        <v>2010399924</v>
      </c>
      <c r="D6">
        <v>64</v>
      </c>
      <c r="E6">
        <v>10024055</v>
      </c>
      <c r="F6" t="s">
        <v>109</v>
      </c>
      <c r="G6">
        <v>75</v>
      </c>
      <c r="H6" t="s">
        <v>68</v>
      </c>
      <c r="I6">
        <v>2010399924</v>
      </c>
      <c r="J6" t="s">
        <v>70</v>
      </c>
      <c r="K6" t="s">
        <v>34</v>
      </c>
      <c r="L6">
        <v>60</v>
      </c>
      <c r="M6">
        <f t="shared" si="0"/>
        <v>15</v>
      </c>
      <c r="N6" t="s">
        <v>71</v>
      </c>
    </row>
    <row r="7" spans="1:16" x14ac:dyDescent="0.25">
      <c r="A7" t="s">
        <v>67</v>
      </c>
      <c r="B7">
        <v>2010399924</v>
      </c>
      <c r="D7">
        <v>64</v>
      </c>
      <c r="E7">
        <v>10019471</v>
      </c>
      <c r="F7" t="s">
        <v>110</v>
      </c>
      <c r="G7">
        <v>75</v>
      </c>
      <c r="H7" t="s">
        <v>68</v>
      </c>
      <c r="I7">
        <v>2010399924</v>
      </c>
      <c r="J7" t="s">
        <v>72</v>
      </c>
      <c r="K7" t="s">
        <v>34</v>
      </c>
      <c r="L7">
        <v>60</v>
      </c>
      <c r="M7">
        <f t="shared" si="0"/>
        <v>15</v>
      </c>
      <c r="N7" t="s">
        <v>71</v>
      </c>
    </row>
    <row r="8" spans="1:16" x14ac:dyDescent="0.25">
      <c r="A8" t="s">
        <v>67</v>
      </c>
      <c r="B8">
        <v>2010399924</v>
      </c>
      <c r="D8">
        <v>64</v>
      </c>
      <c r="E8">
        <v>3003202922</v>
      </c>
      <c r="F8" t="s">
        <v>111</v>
      </c>
      <c r="G8">
        <v>75</v>
      </c>
      <c r="H8" t="s">
        <v>68</v>
      </c>
      <c r="I8">
        <v>2010399924</v>
      </c>
      <c r="J8" t="s">
        <v>72</v>
      </c>
      <c r="K8" t="s">
        <v>34</v>
      </c>
      <c r="L8">
        <v>60</v>
      </c>
      <c r="M8">
        <f t="shared" si="0"/>
        <v>15</v>
      </c>
      <c r="N8" t="s">
        <v>71</v>
      </c>
    </row>
    <row r="9" spans="1:16" x14ac:dyDescent="0.25">
      <c r="A9" t="s">
        <v>67</v>
      </c>
      <c r="B9">
        <v>2010399925</v>
      </c>
      <c r="D9">
        <v>64</v>
      </c>
      <c r="E9">
        <v>10024055</v>
      </c>
      <c r="F9" t="s">
        <v>109</v>
      </c>
      <c r="G9">
        <v>90</v>
      </c>
      <c r="H9" t="s">
        <v>68</v>
      </c>
      <c r="I9">
        <v>2010399925</v>
      </c>
      <c r="J9" t="s">
        <v>70</v>
      </c>
      <c r="K9" t="s">
        <v>34</v>
      </c>
      <c r="L9">
        <v>60</v>
      </c>
      <c r="M9">
        <f t="shared" si="0"/>
        <v>30</v>
      </c>
      <c r="N9" t="s">
        <v>71</v>
      </c>
    </row>
    <row r="10" spans="1:16" x14ac:dyDescent="0.25">
      <c r="A10" t="s">
        <v>67</v>
      </c>
      <c r="B10">
        <v>2010399925</v>
      </c>
      <c r="D10">
        <v>64</v>
      </c>
      <c r="E10">
        <v>10019471</v>
      </c>
      <c r="F10" t="s">
        <v>110</v>
      </c>
      <c r="G10">
        <v>90</v>
      </c>
      <c r="H10" t="s">
        <v>68</v>
      </c>
      <c r="I10">
        <v>2010399925</v>
      </c>
      <c r="J10" t="s">
        <v>72</v>
      </c>
      <c r="K10" t="s">
        <v>34</v>
      </c>
      <c r="L10">
        <v>60</v>
      </c>
      <c r="M10">
        <f t="shared" si="0"/>
        <v>30</v>
      </c>
      <c r="N10" t="s">
        <v>71</v>
      </c>
    </row>
    <row r="11" spans="1:16" x14ac:dyDescent="0.25">
      <c r="A11" t="s">
        <v>67</v>
      </c>
      <c r="B11">
        <v>2010399925</v>
      </c>
      <c r="D11">
        <v>64</v>
      </c>
      <c r="E11">
        <v>3003202922</v>
      </c>
      <c r="F11" t="s">
        <v>111</v>
      </c>
      <c r="G11">
        <v>90</v>
      </c>
      <c r="H11" t="s">
        <v>68</v>
      </c>
      <c r="I11">
        <v>2010399925</v>
      </c>
      <c r="J11" t="s">
        <v>72</v>
      </c>
      <c r="K11" t="s">
        <v>34</v>
      </c>
      <c r="L11">
        <v>60</v>
      </c>
      <c r="M11">
        <f t="shared" si="0"/>
        <v>30</v>
      </c>
      <c r="N11" t="s">
        <v>71</v>
      </c>
    </row>
    <row r="12" spans="1:16" x14ac:dyDescent="0.25">
      <c r="A12" t="s">
        <v>67</v>
      </c>
      <c r="B12">
        <v>2010399926</v>
      </c>
      <c r="D12">
        <v>64</v>
      </c>
      <c r="E12">
        <v>10024055</v>
      </c>
      <c r="F12" t="s">
        <v>109</v>
      </c>
      <c r="G12">
        <v>90</v>
      </c>
      <c r="H12" t="s">
        <v>68</v>
      </c>
      <c r="I12">
        <v>2010399926</v>
      </c>
      <c r="J12" t="s">
        <v>70</v>
      </c>
      <c r="K12" t="s">
        <v>34</v>
      </c>
      <c r="L12">
        <v>60</v>
      </c>
      <c r="M12">
        <f t="shared" si="0"/>
        <v>30</v>
      </c>
      <c r="N12" t="s">
        <v>71</v>
      </c>
    </row>
    <row r="13" spans="1:16" x14ac:dyDescent="0.25">
      <c r="A13" t="s">
        <v>67</v>
      </c>
      <c r="B13">
        <v>2010399926</v>
      </c>
      <c r="D13">
        <v>64</v>
      </c>
      <c r="E13">
        <v>10019471</v>
      </c>
      <c r="F13" t="s">
        <v>110</v>
      </c>
      <c r="G13">
        <v>90</v>
      </c>
      <c r="H13" t="s">
        <v>68</v>
      </c>
      <c r="I13">
        <v>2010399926</v>
      </c>
      <c r="J13" t="s">
        <v>72</v>
      </c>
      <c r="K13" t="s">
        <v>34</v>
      </c>
      <c r="L13">
        <v>60</v>
      </c>
      <c r="M13">
        <f t="shared" si="0"/>
        <v>30</v>
      </c>
      <c r="N13" t="s">
        <v>71</v>
      </c>
    </row>
    <row r="14" spans="1:16" x14ac:dyDescent="0.25">
      <c r="A14" t="s">
        <v>67</v>
      </c>
      <c r="B14">
        <v>2010399926</v>
      </c>
      <c r="D14">
        <v>64</v>
      </c>
      <c r="E14">
        <v>3003202922</v>
      </c>
      <c r="F14" t="s">
        <v>111</v>
      </c>
      <c r="G14">
        <v>90</v>
      </c>
      <c r="H14" t="s">
        <v>68</v>
      </c>
      <c r="I14">
        <v>2010399926</v>
      </c>
      <c r="J14" t="s">
        <v>72</v>
      </c>
      <c r="K14" t="s">
        <v>34</v>
      </c>
      <c r="L14">
        <v>60</v>
      </c>
      <c r="M14">
        <f t="shared" si="0"/>
        <v>30</v>
      </c>
      <c r="N14" t="s">
        <v>71</v>
      </c>
    </row>
    <row r="15" spans="1:16" x14ac:dyDescent="0.25">
      <c r="A15" t="s">
        <v>67</v>
      </c>
      <c r="B15">
        <v>2010399927</v>
      </c>
      <c r="D15">
        <v>64</v>
      </c>
      <c r="E15">
        <v>10024055</v>
      </c>
      <c r="F15" t="s">
        <v>109</v>
      </c>
      <c r="G15">
        <v>90</v>
      </c>
      <c r="H15" t="s">
        <v>68</v>
      </c>
      <c r="I15">
        <v>2010399927</v>
      </c>
      <c r="J15" t="s">
        <v>70</v>
      </c>
      <c r="K15" t="s">
        <v>34</v>
      </c>
      <c r="L15">
        <v>60</v>
      </c>
      <c r="M15">
        <f t="shared" si="0"/>
        <v>30</v>
      </c>
      <c r="N15" t="s">
        <v>71</v>
      </c>
    </row>
    <row r="16" spans="1:16" x14ac:dyDescent="0.25">
      <c r="A16" t="s">
        <v>67</v>
      </c>
      <c r="B16">
        <v>2010399927</v>
      </c>
      <c r="D16">
        <v>64</v>
      </c>
      <c r="E16">
        <v>10019471</v>
      </c>
      <c r="F16" t="s">
        <v>110</v>
      </c>
      <c r="G16">
        <v>90</v>
      </c>
      <c r="H16" t="s">
        <v>68</v>
      </c>
      <c r="I16">
        <v>2010399927</v>
      </c>
      <c r="J16" t="s">
        <v>72</v>
      </c>
      <c r="K16" t="s">
        <v>34</v>
      </c>
      <c r="L16">
        <v>60</v>
      </c>
      <c r="M16">
        <f t="shared" si="0"/>
        <v>30</v>
      </c>
      <c r="N16" t="s">
        <v>71</v>
      </c>
    </row>
    <row r="17" spans="1:14" x14ac:dyDescent="0.25">
      <c r="A17" t="s">
        <v>67</v>
      </c>
      <c r="B17">
        <v>2010399927</v>
      </c>
      <c r="D17">
        <v>64</v>
      </c>
      <c r="E17">
        <v>3003202922</v>
      </c>
      <c r="F17" t="s">
        <v>111</v>
      </c>
      <c r="G17">
        <v>90</v>
      </c>
      <c r="H17" t="s">
        <v>68</v>
      </c>
      <c r="I17">
        <v>2010399927</v>
      </c>
      <c r="J17" t="s">
        <v>72</v>
      </c>
      <c r="K17" t="s">
        <v>34</v>
      </c>
      <c r="L17">
        <v>60</v>
      </c>
      <c r="M17">
        <f t="shared" si="0"/>
        <v>30</v>
      </c>
      <c r="N17" t="s">
        <v>71</v>
      </c>
    </row>
    <row r="18" spans="1:14" x14ac:dyDescent="0.25">
      <c r="A18" t="s">
        <v>67</v>
      </c>
      <c r="B18">
        <v>2010399928</v>
      </c>
      <c r="D18">
        <v>64</v>
      </c>
      <c r="E18">
        <v>10024055</v>
      </c>
      <c r="F18" t="s">
        <v>109</v>
      </c>
      <c r="G18">
        <v>90</v>
      </c>
      <c r="H18" t="s">
        <v>68</v>
      </c>
      <c r="I18">
        <v>2010399928</v>
      </c>
      <c r="J18" t="s">
        <v>70</v>
      </c>
      <c r="K18" t="s">
        <v>34</v>
      </c>
      <c r="L18">
        <v>60</v>
      </c>
      <c r="M18">
        <f t="shared" si="0"/>
        <v>30</v>
      </c>
      <c r="N18" t="s">
        <v>71</v>
      </c>
    </row>
    <row r="19" spans="1:14" x14ac:dyDescent="0.25">
      <c r="A19" t="s">
        <v>67</v>
      </c>
      <c r="B19">
        <v>2010399928</v>
      </c>
      <c r="D19">
        <v>64</v>
      </c>
      <c r="E19">
        <v>10019471</v>
      </c>
      <c r="F19" t="s">
        <v>110</v>
      </c>
      <c r="G19">
        <v>90</v>
      </c>
      <c r="H19" t="s">
        <v>68</v>
      </c>
      <c r="I19">
        <v>2010399928</v>
      </c>
      <c r="J19" t="s">
        <v>72</v>
      </c>
      <c r="K19" t="s">
        <v>34</v>
      </c>
      <c r="L19">
        <v>60</v>
      </c>
      <c r="M19">
        <f t="shared" si="0"/>
        <v>30</v>
      </c>
      <c r="N19" t="s">
        <v>71</v>
      </c>
    </row>
    <row r="20" spans="1:14" x14ac:dyDescent="0.25">
      <c r="A20" t="s">
        <v>67</v>
      </c>
      <c r="B20">
        <v>2010399928</v>
      </c>
      <c r="D20">
        <v>64</v>
      </c>
      <c r="E20">
        <v>3003202922</v>
      </c>
      <c r="F20" t="s">
        <v>111</v>
      </c>
      <c r="G20">
        <v>90</v>
      </c>
      <c r="H20" t="s">
        <v>68</v>
      </c>
      <c r="I20">
        <v>2010399928</v>
      </c>
      <c r="J20" t="s">
        <v>72</v>
      </c>
      <c r="K20" t="s">
        <v>34</v>
      </c>
      <c r="L20">
        <v>60</v>
      </c>
      <c r="M20">
        <f t="shared" si="0"/>
        <v>30</v>
      </c>
      <c r="N20" t="s">
        <v>71</v>
      </c>
    </row>
  </sheetData>
  <dataValidations count="3">
    <dataValidation type="list" allowBlank="1" sqref="J2:J1048576" xr:uid="{00000000-0002-0000-0500-000000000000}">
      <formula1>"HEADER,COMP,STD"</formula1>
    </dataValidation>
    <dataValidation type="list" allowBlank="1" sqref="O2:O1048576" xr:uid="{00000000-0002-0000-0500-000001000000}">
      <formula1>"Open,Planned,Closed"</formula1>
    </dataValidation>
    <dataValidation type="list" allowBlank="1" sqref="N2:N1048576" xr:uid="{00000000-0002-0000-0500-000002000000}">
      <formula1>"Low,Normal,High,Hot"</formula1>
    </dataValidation>
  </dataValidations>
  <pageMargins left="0.75" right="0.75" top="1" bottom="1" header="0.5" footer="0.5"/>
  <headerFooter>
    <oddFooter>&amp;C_x000D_&amp;1#&amp;"Aptos"&amp;10&amp;K000000 PUBLIC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CreateBODPlan">
                <anchor moveWithCells="1" siz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371475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CreateTIRPlan">
                <anchor moveWithCells="1" sizeWithCells="1">
                  <from>
                    <xdr:col>17</xdr:col>
                    <xdr:colOff>28575</xdr:colOff>
                    <xdr:row>9</xdr:row>
                    <xdr:rowOff>9525</xdr:rowOff>
                  </from>
                  <to>
                    <xdr:col>21</xdr:col>
                    <xdr:colOff>409575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8"/>
  <sheetViews>
    <sheetView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16" customWidth="1"/>
    <col min="2" max="2" width="14" customWidth="1"/>
    <col min="3" max="4" width="10" customWidth="1"/>
    <col min="5" max="5" width="12" customWidth="1"/>
    <col min="6" max="6" width="18" customWidth="1"/>
    <col min="7" max="9" width="12" customWidth="1"/>
    <col min="10" max="11" width="8" customWidth="1"/>
  </cols>
  <sheetData>
    <row r="1" spans="1:11" x14ac:dyDescent="0.25">
      <c r="A1" s="1" t="s">
        <v>66</v>
      </c>
      <c r="B1" s="1" t="s">
        <v>77</v>
      </c>
      <c r="C1" s="1" t="s">
        <v>78</v>
      </c>
      <c r="D1" s="1" t="s">
        <v>79</v>
      </c>
      <c r="E1" s="1" t="s">
        <v>14</v>
      </c>
      <c r="F1" s="1" t="s">
        <v>80</v>
      </c>
      <c r="G1" s="1" t="s">
        <v>81</v>
      </c>
      <c r="H1" s="1" t="s">
        <v>82</v>
      </c>
      <c r="I1" s="1" t="s">
        <v>65</v>
      </c>
      <c r="J1" s="1" t="s">
        <v>8</v>
      </c>
      <c r="K1" s="1" t="s">
        <v>83</v>
      </c>
    </row>
    <row r="2" spans="1:11" x14ac:dyDescent="0.25">
      <c r="A2" t="s">
        <v>98</v>
      </c>
      <c r="B2" s="2">
        <v>46036</v>
      </c>
      <c r="C2" t="s">
        <v>6</v>
      </c>
      <c r="D2">
        <v>64</v>
      </c>
      <c r="E2" t="s">
        <v>6</v>
      </c>
      <c r="F2" t="s">
        <v>99</v>
      </c>
      <c r="G2" t="s">
        <v>100</v>
      </c>
      <c r="I2" t="s">
        <v>101</v>
      </c>
      <c r="J2">
        <v>2601</v>
      </c>
      <c r="K2">
        <v>1001</v>
      </c>
    </row>
    <row r="3" spans="1:11" x14ac:dyDescent="0.25">
      <c r="A3" t="s">
        <v>102</v>
      </c>
      <c r="B3" s="2">
        <v>46036</v>
      </c>
      <c r="C3" t="s">
        <v>6</v>
      </c>
      <c r="D3">
        <v>64</v>
      </c>
      <c r="E3" t="s">
        <v>6</v>
      </c>
      <c r="F3" t="s">
        <v>99</v>
      </c>
      <c r="G3" t="s">
        <v>100</v>
      </c>
      <c r="I3" t="s">
        <v>101</v>
      </c>
      <c r="J3">
        <v>2601</v>
      </c>
      <c r="K3">
        <v>1002</v>
      </c>
    </row>
    <row r="4" spans="1:11" x14ac:dyDescent="0.25">
      <c r="A4" t="s">
        <v>103</v>
      </c>
      <c r="B4" s="2">
        <v>46036</v>
      </c>
      <c r="C4" t="s">
        <v>6</v>
      </c>
      <c r="D4">
        <v>64</v>
      </c>
      <c r="E4" t="s">
        <v>6</v>
      </c>
      <c r="F4" t="s">
        <v>99</v>
      </c>
      <c r="G4" t="s">
        <v>100</v>
      </c>
      <c r="I4" t="s">
        <v>101</v>
      </c>
      <c r="J4">
        <v>2601</v>
      </c>
      <c r="K4">
        <v>1003</v>
      </c>
    </row>
    <row r="5" spans="1:11" x14ac:dyDescent="0.25">
      <c r="A5" t="s">
        <v>104</v>
      </c>
      <c r="B5" s="2">
        <v>46036</v>
      </c>
      <c r="C5" t="s">
        <v>6</v>
      </c>
      <c r="D5">
        <v>64</v>
      </c>
      <c r="E5" t="s">
        <v>6</v>
      </c>
      <c r="F5" t="s">
        <v>105</v>
      </c>
      <c r="G5" t="s">
        <v>100</v>
      </c>
      <c r="I5" t="s">
        <v>101</v>
      </c>
      <c r="J5">
        <v>2601</v>
      </c>
      <c r="K5">
        <v>1004</v>
      </c>
    </row>
    <row r="6" spans="1:11" x14ac:dyDescent="0.25">
      <c r="A6" t="s">
        <v>112</v>
      </c>
      <c r="B6" s="2">
        <v>46037</v>
      </c>
      <c r="C6" t="s">
        <v>6</v>
      </c>
      <c r="D6">
        <v>64</v>
      </c>
      <c r="E6" t="s">
        <v>6</v>
      </c>
      <c r="F6" t="s">
        <v>105</v>
      </c>
      <c r="G6" t="s">
        <v>100</v>
      </c>
      <c r="I6" t="s">
        <v>101</v>
      </c>
      <c r="J6">
        <v>2601</v>
      </c>
      <c r="K6">
        <v>1005</v>
      </c>
    </row>
    <row r="7" spans="1:11" x14ac:dyDescent="0.25">
      <c r="A7" t="s">
        <v>113</v>
      </c>
      <c r="B7" s="2">
        <v>46037</v>
      </c>
      <c r="C7" t="s">
        <v>6</v>
      </c>
      <c r="D7">
        <v>64</v>
      </c>
      <c r="E7" t="s">
        <v>6</v>
      </c>
      <c r="F7" t="s">
        <v>105</v>
      </c>
      <c r="G7" t="s">
        <v>100</v>
      </c>
      <c r="I7" t="s">
        <v>101</v>
      </c>
      <c r="J7">
        <v>2601</v>
      </c>
      <c r="K7">
        <v>1006</v>
      </c>
    </row>
    <row r="8" spans="1:11" x14ac:dyDescent="0.25">
      <c r="A8" t="s">
        <v>114</v>
      </c>
      <c r="B8" s="2">
        <v>46037</v>
      </c>
      <c r="C8" t="s">
        <v>6</v>
      </c>
      <c r="D8">
        <v>64</v>
      </c>
      <c r="E8" t="s">
        <v>6</v>
      </c>
      <c r="F8" t="s">
        <v>105</v>
      </c>
      <c r="G8" t="s">
        <v>100</v>
      </c>
      <c r="I8" t="s">
        <v>101</v>
      </c>
      <c r="J8">
        <v>2601</v>
      </c>
      <c r="K8">
        <v>1007</v>
      </c>
    </row>
  </sheetData>
  <pageMargins left="0.75" right="0.75" top="1" bottom="1" header="0.5" footer="0.5"/>
  <headerFooter>
    <oddFooter>&amp;C_x000D_&amp;1#&amp;"Aptos"&amp;10&amp;K000000 PUBLIC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"/>
  <sheetViews>
    <sheetView tabSelected="1" workbookViewId="0">
      <pane ySplit="1" topLeftCell="A2" activePane="bottomLeft" state="frozen"/>
      <selection pane="bottomLeft" activeCell="P18" sqref="P18"/>
    </sheetView>
  </sheetViews>
  <sheetFormatPr defaultRowHeight="15" x14ac:dyDescent="0.25"/>
  <cols>
    <col min="1" max="1" width="16" customWidth="1"/>
    <col min="2" max="2" width="8" customWidth="1"/>
    <col min="3" max="3" width="16" customWidth="1"/>
    <col min="4" max="4" width="10" customWidth="1"/>
    <col min="5" max="5" width="20" customWidth="1"/>
    <col min="6" max="6" width="12" customWidth="1"/>
    <col min="7" max="7" width="10" customWidth="1"/>
    <col min="8" max="8" width="18" customWidth="1"/>
    <col min="9" max="9" width="14" customWidth="1"/>
  </cols>
  <sheetData>
    <row r="1" spans="1:9" x14ac:dyDescent="0.25">
      <c r="A1" s="1" t="s">
        <v>66</v>
      </c>
      <c r="B1" s="1" t="s">
        <v>84</v>
      </c>
      <c r="C1" s="1" t="s">
        <v>85</v>
      </c>
      <c r="D1" s="1" t="s">
        <v>43</v>
      </c>
      <c r="E1" s="1" t="s">
        <v>21</v>
      </c>
      <c r="F1" s="1" t="s">
        <v>86</v>
      </c>
      <c r="G1" s="1" t="s">
        <v>87</v>
      </c>
      <c r="H1" s="1" t="s">
        <v>24</v>
      </c>
      <c r="I1" s="1" t="s">
        <v>61</v>
      </c>
    </row>
  </sheetData>
  <pageMargins left="0.75" right="0.75" top="1" bottom="1" header="0.5" footer="0.5"/>
  <headerFooter>
    <oddFooter>&amp;C_x000D_&amp;1#&amp;"Aptos"&amp;10&amp;K000000 PUBLIC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LoadingFormForPlan_Simple">
                <anchor moveWithCells="1" sizeWithCells="1">
                  <from>
                    <xdr:col>10</xdr:col>
                    <xdr:colOff>504825</xdr:colOff>
                    <xdr:row>3</xdr:row>
                    <xdr:rowOff>85725</xdr:rowOff>
                  </from>
                  <to>
                    <xdr:col>14</xdr:col>
                    <xdr:colOff>504825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I10"/>
  <sheetViews>
    <sheetView workbookViewId="0">
      <pane ySplit="4" topLeftCell="A5" activePane="bottomLeft" state="frozen"/>
      <selection pane="bottomLeft" activeCell="H25" sqref="H25"/>
    </sheetView>
  </sheetViews>
  <sheetFormatPr defaultRowHeight="15" x14ac:dyDescent="0.25"/>
  <cols>
    <col min="1" max="1" width="14.7109375" customWidth="1"/>
    <col min="2" max="2" width="21.5703125" bestFit="1" customWidth="1"/>
    <col min="3" max="3" width="16.7109375" customWidth="1"/>
    <col min="4" max="4" width="10.7109375" customWidth="1"/>
    <col min="5" max="5" width="20.7109375" customWidth="1"/>
    <col min="6" max="6" width="36.7109375" customWidth="1"/>
    <col min="7" max="7" width="10.7109375" customWidth="1"/>
    <col min="8" max="8" width="28.7109375" customWidth="1"/>
    <col min="9" max="9" width="16.7109375" customWidth="1"/>
    <col min="10" max="26" width="12.7109375" customWidth="1"/>
  </cols>
  <sheetData>
    <row r="1" spans="1:9" x14ac:dyDescent="0.25">
      <c r="A1" s="3" t="s">
        <v>88</v>
      </c>
      <c r="B1" s="3"/>
      <c r="C1" s="3"/>
      <c r="D1" s="3"/>
      <c r="E1" s="3"/>
      <c r="F1" s="3"/>
      <c r="G1" s="3"/>
      <c r="H1" s="3"/>
      <c r="I1" s="3"/>
    </row>
    <row r="2" spans="1:9" x14ac:dyDescent="0.25">
      <c r="A2" s="3" t="s">
        <v>89</v>
      </c>
      <c r="B2" s="3" t="s">
        <v>104</v>
      </c>
      <c r="C2" s="3"/>
      <c r="D2" s="3"/>
      <c r="E2" s="3"/>
      <c r="F2" s="3"/>
      <c r="G2" s="3" t="s">
        <v>55</v>
      </c>
      <c r="H2" s="3" t="s">
        <v>107</v>
      </c>
      <c r="I2" s="3"/>
    </row>
    <row r="3" spans="1:9" x14ac:dyDescent="0.25">
      <c r="A3" s="3" t="s">
        <v>90</v>
      </c>
      <c r="B3" s="3" t="s">
        <v>106</v>
      </c>
      <c r="C3" s="3"/>
      <c r="D3" s="3"/>
      <c r="E3" s="3"/>
      <c r="F3" s="3"/>
      <c r="G3" s="3"/>
      <c r="H3" s="3"/>
      <c r="I3" s="3"/>
    </row>
    <row r="4" spans="1:9" x14ac:dyDescent="0.25">
      <c r="A4" s="3" t="s">
        <v>91</v>
      </c>
      <c r="B4" s="3" t="s">
        <v>92</v>
      </c>
      <c r="C4" s="3" t="s">
        <v>93</v>
      </c>
      <c r="D4" s="3" t="s">
        <v>55</v>
      </c>
      <c r="E4" s="3" t="s">
        <v>94</v>
      </c>
      <c r="F4" s="3" t="s">
        <v>95</v>
      </c>
      <c r="G4" s="3" t="s">
        <v>58</v>
      </c>
      <c r="H4" s="3" t="s">
        <v>96</v>
      </c>
      <c r="I4" s="3" t="s">
        <v>97</v>
      </c>
    </row>
    <row r="5" spans="1:9" x14ac:dyDescent="0.25">
      <c r="A5" s="4"/>
      <c r="B5" s="4"/>
      <c r="C5" s="4"/>
      <c r="D5" s="4"/>
      <c r="E5" s="4"/>
      <c r="F5" s="4"/>
      <c r="G5" s="4"/>
      <c r="H5" s="4"/>
      <c r="I5" s="4"/>
    </row>
    <row r="6" spans="1:9" x14ac:dyDescent="0.25">
      <c r="A6" s="4" t="s">
        <v>67</v>
      </c>
      <c r="B6" s="4">
        <v>2010399923</v>
      </c>
      <c r="C6" s="4"/>
      <c r="D6" s="4">
        <v>64</v>
      </c>
      <c r="E6" s="4" t="s">
        <v>31</v>
      </c>
      <c r="F6" s="4" t="s">
        <v>32</v>
      </c>
      <c r="G6" s="4">
        <v>60</v>
      </c>
      <c r="H6" s="4" t="s">
        <v>68</v>
      </c>
      <c r="I6" s="4" t="s">
        <v>69</v>
      </c>
    </row>
    <row r="7" spans="1:9" x14ac:dyDescent="0.25">
      <c r="A7" s="4" t="s">
        <v>67</v>
      </c>
      <c r="B7" s="4">
        <v>2010399923</v>
      </c>
      <c r="C7" s="4"/>
      <c r="D7" s="4">
        <v>64</v>
      </c>
      <c r="E7" s="4" t="s">
        <v>36</v>
      </c>
      <c r="F7" s="4" t="s">
        <v>32</v>
      </c>
      <c r="G7" s="4">
        <v>60</v>
      </c>
      <c r="H7" s="4" t="s">
        <v>68</v>
      </c>
      <c r="I7" s="4" t="s">
        <v>69</v>
      </c>
    </row>
    <row r="8" spans="1:9" x14ac:dyDescent="0.25">
      <c r="A8" s="4" t="s">
        <v>67</v>
      </c>
      <c r="B8" s="4">
        <v>2010399923</v>
      </c>
      <c r="C8" s="4"/>
      <c r="D8" s="4">
        <v>64</v>
      </c>
      <c r="E8" s="4" t="s">
        <v>38</v>
      </c>
      <c r="F8" s="4" t="s">
        <v>32</v>
      </c>
      <c r="G8" s="4">
        <v>60</v>
      </c>
      <c r="H8" s="4" t="s">
        <v>68</v>
      </c>
      <c r="I8" s="4" t="s">
        <v>69</v>
      </c>
    </row>
    <row r="9" spans="1:9" ht="21" x14ac:dyDescent="0.35">
      <c r="A9" s="4" t="s">
        <v>67</v>
      </c>
      <c r="B9" s="4">
        <v>2010399994</v>
      </c>
      <c r="C9" s="4"/>
      <c r="D9" s="4">
        <v>64</v>
      </c>
      <c r="E9" s="4" t="s">
        <v>39</v>
      </c>
      <c r="F9" s="5" t="s">
        <v>40</v>
      </c>
      <c r="G9" s="5">
        <v>240</v>
      </c>
      <c r="H9" s="4" t="s">
        <v>73</v>
      </c>
      <c r="I9" s="4" t="s">
        <v>74</v>
      </c>
    </row>
    <row r="10" spans="1:9" x14ac:dyDescent="0.25">
      <c r="A10" s="4"/>
      <c r="B10" s="4"/>
      <c r="C10" s="4"/>
      <c r="D10" s="4"/>
      <c r="E10" s="4"/>
      <c r="F10" s="4" t="s">
        <v>108</v>
      </c>
      <c r="G10" s="4">
        <v>420</v>
      </c>
      <c r="H10" s="4"/>
      <c r="I10" s="4"/>
    </row>
  </sheetData>
  <pageMargins left="0.4" right="0.4" top="0.4" bottom="0.4" header="0.5" footer="0.5"/>
  <pageSetup paperSize="9" scale="53" fitToHeight="0" orientation="portrait" r:id="rId1"/>
  <headerFooter>
    <oddFooter>&amp;C_x000D_&amp;1#&amp;"Aptos"&amp;10&amp;K000000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xportPDF">
                <anchor moveWithCells="1">
                  <from>
                    <xdr:col>10</xdr:col>
                    <xdr:colOff>561975</xdr:colOff>
                    <xdr:row>5</xdr:row>
                    <xdr:rowOff>114300</xdr:rowOff>
                  </from>
                  <to>
                    <xdr:col>11</xdr:col>
                    <xdr:colOff>257175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ilAt_PDF">
                <anchor moveWithCells="1">
                  <from>
                    <xdr:col>10</xdr:col>
                    <xdr:colOff>590550</xdr:colOff>
                    <xdr:row>9</xdr:row>
                    <xdr:rowOff>9525</xdr:rowOff>
                  </from>
                  <to>
                    <xdr:col>11</xdr:col>
                    <xdr:colOff>285750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9</vt:i4>
      </vt:variant>
    </vt:vector>
  </HeadingPairs>
  <TitlesOfParts>
    <vt:vector size="9" baseType="lpstr">
      <vt:lpstr>Readme</vt:lpstr>
      <vt:lpstr>Parameters</vt:lpstr>
      <vt:lpstr>MasterData_Products</vt:lpstr>
      <vt:lpstr>MasterData_HeaderKits</vt:lpstr>
      <vt:lpstr>DepotTruckCapacity</vt:lpstr>
      <vt:lpstr>Deliveries</vt:lpstr>
      <vt:lpstr>Plans</vt:lpstr>
      <vt:lpstr>PlanLines</vt:lpstr>
      <vt:lpstr>LoadingForm_Template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onurakinci</cp:lastModifiedBy>
  <cp:lastPrinted>2026-01-14T14:41:07Z</cp:lastPrinted>
  <dcterms:created xsi:type="dcterms:W3CDTF">2026-01-14T11:58:54Z</dcterms:created>
  <dcterms:modified xsi:type="dcterms:W3CDTF">2026-01-15T14:26:03Z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1a62361-2e78-4b0a-a130-a0d2684d8c0a_Enabled">
    <vt:lpwstr>true</vt:lpwstr>
  </property>
  <property fmtid="{D5CDD505-2E9C-101B-9397-08002B2CF9AE}" pid="3" name="MSIP_Label_91a62361-2e78-4b0a-a130-a0d2684d8c0a_SetDate">
    <vt:lpwstr>2026-01-14T12:02:33Z</vt:lpwstr>
  </property>
  <property fmtid="{D5CDD505-2E9C-101B-9397-08002B2CF9AE}" pid="4" name="MSIP_Label_91a62361-2e78-4b0a-a130-a0d2684d8c0a_Method">
    <vt:lpwstr>Privileged</vt:lpwstr>
  </property>
  <property fmtid="{D5CDD505-2E9C-101B-9397-08002B2CF9AE}" pid="5" name="MSIP_Label_91a62361-2e78-4b0a-a130-a0d2684d8c0a_Name">
    <vt:lpwstr>Public</vt:lpwstr>
  </property>
  <property fmtid="{D5CDD505-2E9C-101B-9397-08002B2CF9AE}" pid="6" name="MSIP_Label_91a62361-2e78-4b0a-a130-a0d2684d8c0a_SiteId">
    <vt:lpwstr>67e4db54-80ae-4739-b54d-5ee94bd6472e</vt:lpwstr>
  </property>
  <property fmtid="{D5CDD505-2E9C-101B-9397-08002B2CF9AE}" pid="7" name="MSIP_Label_91a62361-2e78-4b0a-a130-a0d2684d8c0a_ActionId">
    <vt:lpwstr>d94b9819-4084-4a26-b869-785bed74092c</vt:lpwstr>
  </property>
  <property fmtid="{D5CDD505-2E9C-101B-9397-08002B2CF9AE}" pid="8" name="MSIP_Label_91a62361-2e78-4b0a-a130-a0d2684d8c0a_ContentBits">
    <vt:lpwstr>2</vt:lpwstr>
  </property>
  <property fmtid="{D5CDD505-2E9C-101B-9397-08002B2CF9AE}" pid="9" name="MSIP_Label_91a62361-2e78-4b0a-a130-a0d2684d8c0a_Tag">
    <vt:lpwstr>10, 0, 1, 1</vt:lpwstr>
  </property>
</Properties>
</file>